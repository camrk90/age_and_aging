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eronkelsey/Documents/smack_lab/PhD_Projects/age_and_aging/"/>
    </mc:Choice>
  </mc:AlternateContent>
  <xr:revisionPtr revIDLastSave="0" documentId="8_{9E8C408A-3064-1E41-BB0B-CF512BBFF3BE}" xr6:coauthVersionLast="47" xr6:coauthVersionMax="47" xr10:uidLastSave="{00000000-0000-0000-0000-000000000000}"/>
  <bookViews>
    <workbookView xWindow="0" yWindow="0" windowWidth="28800" windowHeight="18000"/>
  </bookViews>
  <sheets>
    <sheet name="re_enrichment" sheetId="1" r:id="rId1"/>
  </sheets>
  <definedNames>
    <definedName name="_xlnm._FilterDatabase" localSheetId="0" hidden="1">re_enrichment!$A$1:$N$57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J7" i="1"/>
  <c r="I14" i="1"/>
  <c r="J14" i="1"/>
  <c r="I17" i="1"/>
  <c r="J17" i="1"/>
  <c r="I21" i="1"/>
  <c r="J21" i="1"/>
  <c r="I28" i="1"/>
  <c r="J28" i="1"/>
  <c r="I35" i="1"/>
  <c r="J35" i="1"/>
  <c r="I42" i="1"/>
  <c r="J42" i="1"/>
  <c r="I49" i="1"/>
  <c r="J49" i="1"/>
  <c r="I56" i="1"/>
  <c r="J56" i="1"/>
</calcChain>
</file>

<file path=xl/sharedStrings.xml><?xml version="1.0" encoding="utf-8"?>
<sst xmlns="http://schemas.openxmlformats.org/spreadsheetml/2006/main" count="350" uniqueCount="30">
  <si>
    <t>estimate</t>
  </si>
  <si>
    <t>p.value</t>
  </si>
  <si>
    <t>conf.low</t>
  </si>
  <si>
    <t>conf.high</t>
  </si>
  <si>
    <t>method</t>
  </si>
  <si>
    <t>alternative</t>
  </si>
  <si>
    <t>annotation</t>
  </si>
  <si>
    <t>padj</t>
  </si>
  <si>
    <t>log_or</t>
  </si>
  <si>
    <t>log_ci.lo</t>
  </si>
  <si>
    <t>log_ci.hi</t>
  </si>
  <si>
    <t>direction</t>
  </si>
  <si>
    <t>source</t>
  </si>
  <si>
    <t>model</t>
  </si>
  <si>
    <t>Fisher's Exact Test for Count Data</t>
  </si>
  <si>
    <t>two.sided</t>
  </si>
  <si>
    <t>Simple_repeat</t>
  </si>
  <si>
    <t>Age-Hypermethylated</t>
  </si>
  <si>
    <t>RE</t>
  </si>
  <si>
    <t>chron_signif</t>
  </si>
  <si>
    <t>Satellite</t>
  </si>
  <si>
    <t>SINE</t>
  </si>
  <si>
    <t>LINE</t>
  </si>
  <si>
    <t>LTR</t>
  </si>
  <si>
    <t>Retroposon</t>
  </si>
  <si>
    <t>DNA</t>
  </si>
  <si>
    <t>Age-Hypomethylated</t>
  </si>
  <si>
    <t>eq2_m_signif</t>
  </si>
  <si>
    <t>eq3_age_signif</t>
  </si>
  <si>
    <t>Eq3 Age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</si>
</sst>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57"/>
  <sheetViews>
    <sheetView tabSelected="1" workbookViewId="0">
      <selection activeCell="A26" sqref="A26:XFD2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">
      <c r="A2">
        <v>3.3130240605473</v>
      </c>
      <c r="B2" s="1">
        <v>1.86336274967964E-59</v>
      </c>
      <c r="C2">
        <v>2.91932324803695</v>
      </c>
      <c r="D2">
        <v>3.7474401068811201</v>
      </c>
      <c r="E2" t="s">
        <v>14</v>
      </c>
      <c r="F2" t="s">
        <v>15</v>
      </c>
      <c r="G2" t="s">
        <v>16</v>
      </c>
      <c r="H2" s="1">
        <v>2.7950441245194699E-58</v>
      </c>
      <c r="I2">
        <v>1.1978613857566101</v>
      </c>
      <c r="J2">
        <v>1.07135182504777</v>
      </c>
      <c r="K2">
        <v>1.3210729687137599</v>
      </c>
      <c r="L2" t="s">
        <v>17</v>
      </c>
      <c r="M2" t="s">
        <v>18</v>
      </c>
      <c r="N2" t="s">
        <v>19</v>
      </c>
    </row>
    <row r="3" spans="1:14" hidden="1" x14ac:dyDescent="0.2">
      <c r="A3">
        <v>0.74092054541584895</v>
      </c>
      <c r="B3">
        <v>0.19380126213357299</v>
      </c>
      <c r="C3">
        <v>0.46338933156034301</v>
      </c>
      <c r="D3">
        <v>1.12455440181672</v>
      </c>
      <c r="E3" t="s">
        <v>14</v>
      </c>
      <c r="F3" t="s">
        <v>15</v>
      </c>
      <c r="G3" t="s">
        <v>20</v>
      </c>
      <c r="H3">
        <v>0.38760252426714598</v>
      </c>
      <c r="I3">
        <v>-0.299861885594633</v>
      </c>
      <c r="J3">
        <v>-0.76918768934567205</v>
      </c>
      <c r="K3">
        <v>0.117386869919075</v>
      </c>
      <c r="L3" t="s">
        <v>17</v>
      </c>
      <c r="M3" t="s">
        <v>18</v>
      </c>
      <c r="N3" t="s">
        <v>19</v>
      </c>
    </row>
    <row r="4" spans="1:14" hidden="1" x14ac:dyDescent="0.2">
      <c r="A4">
        <v>9.7264316089188396E-2</v>
      </c>
      <c r="B4">
        <v>0</v>
      </c>
      <c r="C4">
        <v>8.0937180094254102E-2</v>
      </c>
      <c r="D4">
        <v>0.115996712363825</v>
      </c>
      <c r="E4" t="s">
        <v>14</v>
      </c>
      <c r="F4" t="s">
        <v>15</v>
      </c>
      <c r="G4" t="s">
        <v>21</v>
      </c>
      <c r="H4">
        <v>0</v>
      </c>
      <c r="I4">
        <v>-2.3303230981744498</v>
      </c>
      <c r="J4">
        <v>-2.51408197959951</v>
      </c>
      <c r="K4">
        <v>-2.1541934299685601</v>
      </c>
      <c r="L4" t="s">
        <v>17</v>
      </c>
      <c r="M4" t="s">
        <v>18</v>
      </c>
      <c r="N4" t="s">
        <v>19</v>
      </c>
    </row>
    <row r="5" spans="1:14" hidden="1" x14ac:dyDescent="0.2">
      <c r="A5">
        <v>0.17862719832701399</v>
      </c>
      <c r="B5" s="1">
        <v>2.4827691964747698E-40</v>
      </c>
      <c r="C5">
        <v>0.122055640479672</v>
      </c>
      <c r="D5">
        <v>0.25257990692341797</v>
      </c>
      <c r="E5" t="s">
        <v>14</v>
      </c>
      <c r="F5" t="s">
        <v>15</v>
      </c>
      <c r="G5" t="s">
        <v>22</v>
      </c>
      <c r="H5" s="1">
        <v>3.4758768750646798E-39</v>
      </c>
      <c r="I5">
        <v>-1.7224543358686299</v>
      </c>
      <c r="J5">
        <v>-2.10327826871145</v>
      </c>
      <c r="K5">
        <v>-1.3760276172675501</v>
      </c>
      <c r="L5" t="s">
        <v>17</v>
      </c>
      <c r="M5" t="s">
        <v>18</v>
      </c>
      <c r="N5" t="s">
        <v>19</v>
      </c>
    </row>
    <row r="6" spans="1:14" hidden="1" x14ac:dyDescent="0.2">
      <c r="A6">
        <v>5.2690239286815301E-2</v>
      </c>
      <c r="B6" s="1">
        <v>3.1014619859225499E-96</v>
      </c>
      <c r="C6">
        <v>2.9469979755896401E-2</v>
      </c>
      <c r="D6">
        <v>8.7001978007363603E-2</v>
      </c>
      <c r="E6" t="s">
        <v>14</v>
      </c>
      <c r="F6" t="s">
        <v>15</v>
      </c>
      <c r="G6" t="s">
        <v>23</v>
      </c>
      <c r="H6" s="1">
        <v>5.5826315746606003E-95</v>
      </c>
      <c r="I6">
        <v>-2.9433250533627202</v>
      </c>
      <c r="J6">
        <v>-3.5243831691721401</v>
      </c>
      <c r="K6">
        <v>-2.4418244248691798</v>
      </c>
      <c r="L6" t="s">
        <v>17</v>
      </c>
      <c r="M6" t="s">
        <v>18</v>
      </c>
      <c r="N6" t="s">
        <v>19</v>
      </c>
    </row>
    <row r="7" spans="1:14" hidden="1" x14ac:dyDescent="0.2">
      <c r="A7">
        <v>0</v>
      </c>
      <c r="B7">
        <v>0.27770040790810502</v>
      </c>
      <c r="C7">
        <v>0</v>
      </c>
      <c r="D7">
        <v>1.8193406326731401</v>
      </c>
      <c r="E7" t="s">
        <v>14</v>
      </c>
      <c r="F7" t="s">
        <v>15</v>
      </c>
      <c r="G7" t="s">
        <v>24</v>
      </c>
      <c r="H7">
        <v>0.38760252426714598</v>
      </c>
      <c r="I7" t="e">
        <f>-Inf</f>
        <v>#NAME?</v>
      </c>
      <c r="J7" t="e">
        <f>-Inf</f>
        <v>#NAME?</v>
      </c>
      <c r="K7">
        <v>0.59847414570589297</v>
      </c>
      <c r="L7" t="s">
        <v>17</v>
      </c>
      <c r="M7" t="s">
        <v>18</v>
      </c>
      <c r="N7" t="s">
        <v>19</v>
      </c>
    </row>
    <row r="8" spans="1:14" hidden="1" x14ac:dyDescent="0.2">
      <c r="A8">
        <v>0.35537689261358302</v>
      </c>
      <c r="B8" s="1">
        <v>5.0196302847708898E-8</v>
      </c>
      <c r="C8">
        <v>0.21677311041664701</v>
      </c>
      <c r="D8">
        <v>0.54978609670441203</v>
      </c>
      <c r="E8" t="s">
        <v>14</v>
      </c>
      <c r="F8" t="s">
        <v>15</v>
      </c>
      <c r="G8" t="s">
        <v>25</v>
      </c>
      <c r="H8" s="1">
        <v>4.5176672562938E-7</v>
      </c>
      <c r="I8">
        <v>-1.0345763833449999</v>
      </c>
      <c r="J8">
        <v>-1.5289040465524399</v>
      </c>
      <c r="K8">
        <v>-0.59822599148559097</v>
      </c>
      <c r="L8" t="s">
        <v>17</v>
      </c>
      <c r="M8" t="s">
        <v>18</v>
      </c>
      <c r="N8" t="s">
        <v>19</v>
      </c>
    </row>
    <row r="9" spans="1:14" hidden="1" x14ac:dyDescent="0.2">
      <c r="A9">
        <v>0.480033723606893</v>
      </c>
      <c r="B9" s="1">
        <v>1.56712375750839E-14</v>
      </c>
      <c r="C9">
        <v>0.384364847295251</v>
      </c>
      <c r="D9">
        <v>0.59248975859844899</v>
      </c>
      <c r="E9" t="s">
        <v>14</v>
      </c>
      <c r="F9" t="s">
        <v>15</v>
      </c>
      <c r="G9" t="s">
        <v>16</v>
      </c>
      <c r="H9" s="1">
        <v>1.88054850901007E-13</v>
      </c>
      <c r="I9">
        <v>-0.73389892003378199</v>
      </c>
      <c r="J9">
        <v>-0.95616305431100701</v>
      </c>
      <c r="K9">
        <v>-0.52342169118814696</v>
      </c>
      <c r="L9" t="s">
        <v>26</v>
      </c>
      <c r="M9" t="s">
        <v>18</v>
      </c>
      <c r="N9" t="s">
        <v>19</v>
      </c>
    </row>
    <row r="10" spans="1:14" hidden="1" x14ac:dyDescent="0.2">
      <c r="A10">
        <v>0.27338950445243299</v>
      </c>
      <c r="B10" s="1">
        <v>3.9903870882446298E-11</v>
      </c>
      <c r="C10">
        <v>0.15899597643457</v>
      </c>
      <c r="D10">
        <v>0.43845798592351398</v>
      </c>
      <c r="E10" t="s">
        <v>14</v>
      </c>
      <c r="F10" t="s">
        <v>15</v>
      </c>
      <c r="G10" t="s">
        <v>20</v>
      </c>
      <c r="H10" s="1">
        <v>4.3894257970690902E-10</v>
      </c>
      <c r="I10">
        <v>-1.2968577444107501</v>
      </c>
      <c r="J10">
        <v>-1.83887638252504</v>
      </c>
      <c r="K10">
        <v>-0.82449128493356005</v>
      </c>
      <c r="L10" t="s">
        <v>26</v>
      </c>
      <c r="M10" t="s">
        <v>18</v>
      </c>
      <c r="N10" t="s">
        <v>19</v>
      </c>
    </row>
    <row r="11" spans="1:14" hidden="1" x14ac:dyDescent="0.2">
      <c r="A11">
        <v>0.71085289928795803</v>
      </c>
      <c r="B11" s="1">
        <v>3.3753641306155798E-40</v>
      </c>
      <c r="C11">
        <v>0.67422340010399595</v>
      </c>
      <c r="D11">
        <v>0.74913814749255803</v>
      </c>
      <c r="E11" t="s">
        <v>14</v>
      </c>
      <c r="F11" t="s">
        <v>15</v>
      </c>
      <c r="G11" t="s">
        <v>21</v>
      </c>
      <c r="H11" s="1">
        <v>6.0756554351080497E-39</v>
      </c>
      <c r="I11">
        <v>-0.34128976328743699</v>
      </c>
      <c r="J11">
        <v>-0.39419376882839302</v>
      </c>
      <c r="K11">
        <v>-0.28883186989217402</v>
      </c>
      <c r="L11" t="s">
        <v>26</v>
      </c>
      <c r="M11" t="s">
        <v>18</v>
      </c>
      <c r="N11" t="s">
        <v>19</v>
      </c>
    </row>
    <row r="12" spans="1:14" hidden="1" x14ac:dyDescent="0.2">
      <c r="A12">
        <v>1.1719400348606099</v>
      </c>
      <c r="B12">
        <v>2.0377533932955699E-3</v>
      </c>
      <c r="C12">
        <v>1.0592331092238101</v>
      </c>
      <c r="D12">
        <v>1.29367498963776</v>
      </c>
      <c r="E12" t="s">
        <v>14</v>
      </c>
      <c r="F12" t="s">
        <v>15</v>
      </c>
      <c r="G12" t="s">
        <v>22</v>
      </c>
      <c r="H12">
        <v>1.22265203597734E-2</v>
      </c>
      <c r="I12">
        <v>0.15866052505115899</v>
      </c>
      <c r="J12">
        <v>5.7545164420351499E-2</v>
      </c>
      <c r="K12">
        <v>0.25748699732674601</v>
      </c>
      <c r="L12" t="s">
        <v>26</v>
      </c>
      <c r="M12" t="s">
        <v>18</v>
      </c>
      <c r="N12" t="s">
        <v>19</v>
      </c>
    </row>
    <row r="13" spans="1:14" hidden="1" x14ac:dyDescent="0.2">
      <c r="A13">
        <v>0.83986522168209699</v>
      </c>
      <c r="B13" s="1">
        <v>1.7966296083798901E-4</v>
      </c>
      <c r="C13">
        <v>0.76391374489505703</v>
      </c>
      <c r="D13">
        <v>0.92156176486079799</v>
      </c>
      <c r="E13" t="s">
        <v>14</v>
      </c>
      <c r="F13" t="s">
        <v>15</v>
      </c>
      <c r="G13" t="s">
        <v>23</v>
      </c>
      <c r="H13">
        <v>1.4373036867039099E-3</v>
      </c>
      <c r="I13">
        <v>-0.174513850396771</v>
      </c>
      <c r="J13">
        <v>-0.26930039554124602</v>
      </c>
      <c r="K13">
        <v>-8.1685477682404001E-2</v>
      </c>
      <c r="L13" t="s">
        <v>26</v>
      </c>
      <c r="M13" t="s">
        <v>18</v>
      </c>
      <c r="N13" t="s">
        <v>19</v>
      </c>
    </row>
    <row r="14" spans="1:14" hidden="1" x14ac:dyDescent="0.2">
      <c r="A14">
        <v>0</v>
      </c>
      <c r="B14">
        <v>2.4974051936001301E-2</v>
      </c>
      <c r="C14">
        <v>0</v>
      </c>
      <c r="D14">
        <v>0.87189497591656095</v>
      </c>
      <c r="E14" t="s">
        <v>14</v>
      </c>
      <c r="F14" t="s">
        <v>15</v>
      </c>
      <c r="G14" t="s">
        <v>24</v>
      </c>
      <c r="H14">
        <v>9.9896207744005303E-2</v>
      </c>
      <c r="I14" t="e">
        <f>-Inf</f>
        <v>#NAME?</v>
      </c>
      <c r="J14" t="e">
        <f>-Inf</f>
        <v>#NAME?</v>
      </c>
      <c r="K14">
        <v>-0.13708630278935099</v>
      </c>
      <c r="L14" t="s">
        <v>26</v>
      </c>
      <c r="M14" t="s">
        <v>18</v>
      </c>
      <c r="N14" t="s">
        <v>19</v>
      </c>
    </row>
    <row r="15" spans="1:14" hidden="1" x14ac:dyDescent="0.2">
      <c r="A15">
        <v>1.15988483167796</v>
      </c>
      <c r="B15">
        <v>9.8156648468340393E-2</v>
      </c>
      <c r="C15">
        <v>0.968643665860905</v>
      </c>
      <c r="D15">
        <v>1.37845114023801</v>
      </c>
      <c r="E15" t="s">
        <v>14</v>
      </c>
      <c r="F15" t="s">
        <v>15</v>
      </c>
      <c r="G15" t="s">
        <v>25</v>
      </c>
      <c r="H15">
        <v>0.29446994540502103</v>
      </c>
      <c r="I15">
        <v>0.14832071715314901</v>
      </c>
      <c r="J15">
        <v>-3.1858468611732402E-2</v>
      </c>
      <c r="K15">
        <v>0.32096050670268</v>
      </c>
      <c r="L15" t="s">
        <v>26</v>
      </c>
      <c r="M15" t="s">
        <v>18</v>
      </c>
      <c r="N15" t="s">
        <v>19</v>
      </c>
    </row>
    <row r="16" spans="1:14" x14ac:dyDescent="0.2">
      <c r="A16">
        <v>3.50009574148025</v>
      </c>
      <c r="B16" s="1">
        <v>2.49434115690484E-62</v>
      </c>
      <c r="C16">
        <v>3.07833688208818</v>
      </c>
      <c r="D16">
        <v>3.9657073735666</v>
      </c>
      <c r="E16" t="s">
        <v>14</v>
      </c>
      <c r="F16" t="s">
        <v>15</v>
      </c>
      <c r="G16" t="s">
        <v>16</v>
      </c>
      <c r="H16" s="1">
        <v>3.9909458510477502E-61</v>
      </c>
      <c r="I16">
        <v>1.25279032282987</v>
      </c>
      <c r="J16">
        <v>1.1243894777993799</v>
      </c>
      <c r="K16">
        <v>1.37768424360505</v>
      </c>
      <c r="L16" t="s">
        <v>17</v>
      </c>
      <c r="M16" t="s">
        <v>18</v>
      </c>
      <c r="N16" t="s">
        <v>27</v>
      </c>
    </row>
    <row r="17" spans="1:14" x14ac:dyDescent="0.2">
      <c r="A17">
        <v>0</v>
      </c>
      <c r="B17" s="1">
        <v>1.74798816198969E-12</v>
      </c>
      <c r="C17">
        <v>0</v>
      </c>
      <c r="D17">
        <v>0.133201616052851</v>
      </c>
      <c r="E17" t="s">
        <v>14</v>
      </c>
      <c r="F17" t="s">
        <v>15</v>
      </c>
      <c r="G17" t="s">
        <v>20</v>
      </c>
      <c r="H17" s="1">
        <v>1.57318934579072E-11</v>
      </c>
      <c r="I17" t="e">
        <f>-Inf</f>
        <v>#NAME?</v>
      </c>
      <c r="J17" t="e">
        <f>-Inf</f>
        <v>#NAME?</v>
      </c>
      <c r="K17">
        <v>-2.0158913884205298</v>
      </c>
      <c r="L17" t="s">
        <v>17</v>
      </c>
      <c r="M17" t="s">
        <v>18</v>
      </c>
      <c r="N17" t="s">
        <v>27</v>
      </c>
    </row>
    <row r="18" spans="1:14" x14ac:dyDescent="0.2">
      <c r="A18">
        <v>4.66266542211742E-2</v>
      </c>
      <c r="B18">
        <v>0</v>
      </c>
      <c r="C18">
        <v>3.5256711281374101E-2</v>
      </c>
      <c r="D18">
        <v>6.0544373405631902E-2</v>
      </c>
      <c r="E18" t="s">
        <v>14</v>
      </c>
      <c r="F18" t="s">
        <v>15</v>
      </c>
      <c r="G18" t="s">
        <v>21</v>
      </c>
      <c r="H18">
        <v>0</v>
      </c>
      <c r="I18">
        <v>-3.06558292237301</v>
      </c>
      <c r="J18">
        <v>-3.3450993768849502</v>
      </c>
      <c r="K18">
        <v>-2.8043787380632801</v>
      </c>
      <c r="L18" t="s">
        <v>17</v>
      </c>
      <c r="M18" t="s">
        <v>18</v>
      </c>
      <c r="N18" t="s">
        <v>27</v>
      </c>
    </row>
    <row r="19" spans="1:14" x14ac:dyDescent="0.2">
      <c r="A19">
        <v>9.0267351605319998E-2</v>
      </c>
      <c r="B19" s="1">
        <v>2.8881860921017199E-50</v>
      </c>
      <c r="C19">
        <v>5.04751869759218E-2</v>
      </c>
      <c r="D19">
        <v>0.14903878889443301</v>
      </c>
      <c r="E19" t="s">
        <v>14</v>
      </c>
      <c r="F19" t="s">
        <v>15</v>
      </c>
      <c r="G19" t="s">
        <v>22</v>
      </c>
      <c r="H19" s="1">
        <v>4.04346052894241E-49</v>
      </c>
      <c r="I19">
        <v>-2.4049794386942298</v>
      </c>
      <c r="J19">
        <v>-2.98627341046276</v>
      </c>
      <c r="K19">
        <v>-1.90354867876561</v>
      </c>
      <c r="L19" t="s">
        <v>17</v>
      </c>
      <c r="M19" t="s">
        <v>18</v>
      </c>
      <c r="N19" t="s">
        <v>27</v>
      </c>
    </row>
    <row r="20" spans="1:14" x14ac:dyDescent="0.2">
      <c r="A20">
        <v>2.6554931065746801E-2</v>
      </c>
      <c r="B20" s="1">
        <v>1.4802049945173499E-98</v>
      </c>
      <c r="C20">
        <v>1.0657881175272299E-2</v>
      </c>
      <c r="D20">
        <v>5.4779544094363801E-2</v>
      </c>
      <c r="E20" t="s">
        <v>14</v>
      </c>
      <c r="F20" t="s">
        <v>15</v>
      </c>
      <c r="G20" t="s">
        <v>23</v>
      </c>
      <c r="H20" s="1">
        <v>2.5163484906795001E-97</v>
      </c>
      <c r="I20">
        <v>-3.62853982101598</v>
      </c>
      <c r="J20">
        <v>-4.54145564404637</v>
      </c>
      <c r="K20">
        <v>-2.9044384376651502</v>
      </c>
      <c r="L20" t="s">
        <v>17</v>
      </c>
      <c r="M20" t="s">
        <v>18</v>
      </c>
      <c r="N20" t="s">
        <v>27</v>
      </c>
    </row>
    <row r="21" spans="1:14" x14ac:dyDescent="0.2">
      <c r="A21">
        <v>0</v>
      </c>
      <c r="B21">
        <v>0.27263808109169702</v>
      </c>
      <c r="C21">
        <v>0</v>
      </c>
      <c r="D21">
        <v>1.9681790459463799</v>
      </c>
      <c r="E21" t="s">
        <v>14</v>
      </c>
      <c r="F21" t="s">
        <v>15</v>
      </c>
      <c r="G21" t="s">
        <v>24</v>
      </c>
      <c r="H21">
        <v>0.54527616218339403</v>
      </c>
      <c r="I21" t="e">
        <f>-Inf</f>
        <v>#NAME?</v>
      </c>
      <c r="J21" t="e">
        <f>-Inf</f>
        <v>#NAME?</v>
      </c>
      <c r="K21">
        <v>0.67710877312304996</v>
      </c>
      <c r="L21" t="s">
        <v>17</v>
      </c>
      <c r="M21" t="s">
        <v>18</v>
      </c>
      <c r="N21" t="s">
        <v>27</v>
      </c>
    </row>
    <row r="22" spans="1:14" x14ac:dyDescent="0.2">
      <c r="A22">
        <v>0.249365311465478</v>
      </c>
      <c r="B22" s="1">
        <v>2.3985361467710501E-10</v>
      </c>
      <c r="C22">
        <v>0.13261326655596001</v>
      </c>
      <c r="D22">
        <v>0.42704280446881299</v>
      </c>
      <c r="E22" t="s">
        <v>14</v>
      </c>
      <c r="F22" t="s">
        <v>15</v>
      </c>
      <c r="G22" t="s">
        <v>25</v>
      </c>
      <c r="H22" s="1">
        <v>1.9188289174168401E-9</v>
      </c>
      <c r="I22">
        <v>-1.3888363433589901</v>
      </c>
      <c r="J22">
        <v>-2.0203181567933499</v>
      </c>
      <c r="K22">
        <v>-0.85087102612002896</v>
      </c>
      <c r="L22" t="s">
        <v>17</v>
      </c>
      <c r="M22" t="s">
        <v>18</v>
      </c>
      <c r="N22" t="s">
        <v>27</v>
      </c>
    </row>
    <row r="23" spans="1:14" x14ac:dyDescent="0.2">
      <c r="A23">
        <v>0</v>
      </c>
      <c r="B23">
        <v>7.5145869405557697E-3</v>
      </c>
      <c r="C23">
        <v>0.40133959492027399</v>
      </c>
      <c r="D23">
        <v>0.89065890765077904</v>
      </c>
      <c r="E23" t="s">
        <v>14</v>
      </c>
      <c r="F23" t="s">
        <v>15</v>
      </c>
      <c r="G23" t="s">
        <v>16</v>
      </c>
      <c r="H23">
        <v>6.01166955244462E-2</v>
      </c>
      <c r="I23">
        <v>-0.49357438224942901</v>
      </c>
      <c r="J23">
        <v>-0.91294733994237298</v>
      </c>
      <c r="K23">
        <v>-0.115793744501588</v>
      </c>
      <c r="L23" t="s">
        <v>26</v>
      </c>
      <c r="M23" t="s">
        <v>18</v>
      </c>
      <c r="N23" t="s">
        <v>27</v>
      </c>
    </row>
    <row r="24" spans="1:14" x14ac:dyDescent="0.2">
      <c r="A24">
        <v>0.66884496993465903</v>
      </c>
      <c r="B24">
        <v>0.24054291073494599</v>
      </c>
      <c r="C24">
        <v>0.32011111214691601</v>
      </c>
      <c r="D24">
        <v>1.23324177041947</v>
      </c>
      <c r="E24" t="s">
        <v>14</v>
      </c>
      <c r="F24" t="s">
        <v>15</v>
      </c>
      <c r="G24" t="s">
        <v>20</v>
      </c>
      <c r="H24">
        <v>0.72162873220484003</v>
      </c>
      <c r="I24">
        <v>-0.40220297973729702</v>
      </c>
      <c r="J24">
        <v>-1.13908711799806</v>
      </c>
      <c r="K24">
        <v>0.20964628802570101</v>
      </c>
      <c r="L24" t="s">
        <v>26</v>
      </c>
      <c r="M24" t="s">
        <v>18</v>
      </c>
      <c r="N24" t="s">
        <v>27</v>
      </c>
    </row>
    <row r="25" spans="1:14" x14ac:dyDescent="0.2">
      <c r="A25">
        <v>0.77581908279988299</v>
      </c>
      <c r="B25" s="1">
        <v>6.6401746822766897E-7</v>
      </c>
      <c r="C25">
        <v>0.69860014143595095</v>
      </c>
      <c r="D25">
        <v>0.85999353933805001</v>
      </c>
      <c r="E25" t="s">
        <v>14</v>
      </c>
      <c r="F25" t="s">
        <v>15</v>
      </c>
      <c r="G25" t="s">
        <v>21</v>
      </c>
      <c r="H25" s="1">
        <v>9.9602620234150294E-6</v>
      </c>
      <c r="I25">
        <v>-0.25383592670223998</v>
      </c>
      <c r="J25">
        <v>-0.35867674415315298</v>
      </c>
      <c r="K25">
        <v>-0.15083040216041699</v>
      </c>
      <c r="L25" t="s">
        <v>26</v>
      </c>
      <c r="M25" t="s">
        <v>18</v>
      </c>
      <c r="N25" t="s">
        <v>27</v>
      </c>
    </row>
    <row r="26" spans="1:14" x14ac:dyDescent="0.2">
      <c r="A26">
        <v>1.87795284922187</v>
      </c>
      <c r="B26" s="1">
        <v>1.8536475037819599E-12</v>
      </c>
      <c r="C26">
        <v>1.5889557594502799</v>
      </c>
      <c r="D26">
        <v>2.2059401318009999</v>
      </c>
      <c r="E26" t="s">
        <v>14</v>
      </c>
      <c r="F26" t="s">
        <v>15</v>
      </c>
      <c r="G26" t="s">
        <v>22</v>
      </c>
      <c r="H26" s="1">
        <v>3.33656550680753E-11</v>
      </c>
      <c r="I26">
        <v>0.63018227356027801</v>
      </c>
      <c r="J26">
        <v>0.46307704541134598</v>
      </c>
      <c r="K26">
        <v>0.79115378166023698</v>
      </c>
      <c r="L26" t="s">
        <v>26</v>
      </c>
      <c r="M26" t="s">
        <v>18</v>
      </c>
      <c r="N26" t="s">
        <v>27</v>
      </c>
    </row>
    <row r="27" spans="1:14" x14ac:dyDescent="0.2">
      <c r="A27">
        <v>1.4326754476754999</v>
      </c>
      <c r="B27" s="1">
        <v>5.2196705603977998E-6</v>
      </c>
      <c r="C27">
        <v>1.2293034806254599</v>
      </c>
      <c r="D27">
        <v>1.66154000523584</v>
      </c>
      <c r="E27" t="s">
        <v>14</v>
      </c>
      <c r="F27" t="s">
        <v>15</v>
      </c>
      <c r="G27" t="s">
        <v>23</v>
      </c>
      <c r="H27" s="1">
        <v>7.3075387845569206E-5</v>
      </c>
      <c r="I27">
        <v>0.35954363866942202</v>
      </c>
      <c r="J27">
        <v>0.20644773307530701</v>
      </c>
      <c r="K27">
        <v>0.50774488630527903</v>
      </c>
      <c r="L27" t="s">
        <v>26</v>
      </c>
      <c r="M27" t="s">
        <v>18</v>
      </c>
      <c r="N27" t="s">
        <v>27</v>
      </c>
    </row>
    <row r="28" spans="1:14" x14ac:dyDescent="0.2">
      <c r="A28">
        <v>0</v>
      </c>
      <c r="B28">
        <v>0.63144474121926597</v>
      </c>
      <c r="C28">
        <v>0</v>
      </c>
      <c r="D28">
        <v>3.6269135123559901</v>
      </c>
      <c r="E28" t="s">
        <v>14</v>
      </c>
      <c r="F28" t="s">
        <v>15</v>
      </c>
      <c r="G28" t="s">
        <v>24</v>
      </c>
      <c r="H28">
        <v>0.72162873220484003</v>
      </c>
      <c r="I28" t="e">
        <f>-Inf</f>
        <v>#NAME?</v>
      </c>
      <c r="J28" t="e">
        <f>-Inf</f>
        <v>#NAME?</v>
      </c>
      <c r="K28">
        <v>1.28838201451218</v>
      </c>
      <c r="L28" t="s">
        <v>26</v>
      </c>
      <c r="M28" t="s">
        <v>18</v>
      </c>
      <c r="N28" t="s">
        <v>27</v>
      </c>
    </row>
    <row r="29" spans="1:14" x14ac:dyDescent="0.2">
      <c r="A29">
        <v>1.73026800083387</v>
      </c>
      <c r="B29" s="1">
        <v>5.4649747201359602E-4</v>
      </c>
      <c r="C29">
        <v>1.27137771058236</v>
      </c>
      <c r="D29">
        <v>2.3031904058846799</v>
      </c>
      <c r="E29" t="s">
        <v>14</v>
      </c>
      <c r="F29" t="s">
        <v>15</v>
      </c>
      <c r="G29" t="s">
        <v>25</v>
      </c>
      <c r="H29">
        <v>6.0114721921495596E-3</v>
      </c>
      <c r="I29">
        <v>0.54827631028859602</v>
      </c>
      <c r="J29">
        <v>0.240101123969897</v>
      </c>
      <c r="K29">
        <v>0.83429529474822595</v>
      </c>
      <c r="L29" t="s">
        <v>26</v>
      </c>
      <c r="M29" t="s">
        <v>18</v>
      </c>
      <c r="N29" t="s">
        <v>27</v>
      </c>
    </row>
    <row r="30" spans="1:14" hidden="1" x14ac:dyDescent="0.2">
      <c r="A30">
        <v>5.7559635805995004</v>
      </c>
      <c r="B30">
        <v>0</v>
      </c>
      <c r="C30">
        <v>5.3705932030881698</v>
      </c>
      <c r="D30">
        <v>6.16344375479117</v>
      </c>
      <c r="E30" t="s">
        <v>14</v>
      </c>
      <c r="F30" t="s">
        <v>15</v>
      </c>
      <c r="G30" t="s">
        <v>16</v>
      </c>
      <c r="H30">
        <v>0</v>
      </c>
      <c r="I30">
        <v>1.7502364617986199</v>
      </c>
      <c r="J30">
        <v>1.68093836854426</v>
      </c>
      <c r="K30">
        <v>1.8186356724370401</v>
      </c>
      <c r="L30" t="s">
        <v>17</v>
      </c>
      <c r="M30" t="s">
        <v>18</v>
      </c>
      <c r="N30" t="s">
        <v>28</v>
      </c>
    </row>
    <row r="31" spans="1:14" hidden="1" x14ac:dyDescent="0.2">
      <c r="A31">
        <v>0.47975163329770698</v>
      </c>
      <c r="B31" s="1">
        <v>4.8301134155548199E-6</v>
      </c>
      <c r="C31">
        <v>0.327524695930964</v>
      </c>
      <c r="D31">
        <v>0.67881022760566101</v>
      </c>
      <c r="E31" t="s">
        <v>14</v>
      </c>
      <c r="F31" t="s">
        <v>15</v>
      </c>
      <c r="G31" t="s">
        <v>20</v>
      </c>
      <c r="H31" s="1">
        <v>2.41505670777741E-5</v>
      </c>
      <c r="I31">
        <v>-0.73448673962340105</v>
      </c>
      <c r="J31">
        <v>-1.1161918193270299</v>
      </c>
      <c r="K31">
        <v>-0.38741367854986097</v>
      </c>
      <c r="L31" t="s">
        <v>17</v>
      </c>
      <c r="M31" t="s">
        <v>18</v>
      </c>
      <c r="N31" t="s">
        <v>28</v>
      </c>
    </row>
    <row r="32" spans="1:14" hidden="1" x14ac:dyDescent="0.2">
      <c r="A32">
        <v>1.32702754082932</v>
      </c>
      <c r="B32" s="1">
        <v>3.3608654242425398E-38</v>
      </c>
      <c r="C32">
        <v>1.27210798544957</v>
      </c>
      <c r="D32">
        <v>1.3839989407556701</v>
      </c>
      <c r="E32" t="s">
        <v>14</v>
      </c>
      <c r="F32" t="s">
        <v>15</v>
      </c>
      <c r="G32" t="s">
        <v>21</v>
      </c>
      <c r="H32" s="1">
        <v>5.7134712212123196E-37</v>
      </c>
      <c r="I32">
        <v>0.28294150933916901</v>
      </c>
      <c r="J32">
        <v>0.24067535553598399</v>
      </c>
      <c r="K32">
        <v>0.32497709184524098</v>
      </c>
      <c r="L32" t="s">
        <v>17</v>
      </c>
      <c r="M32" t="s">
        <v>18</v>
      </c>
      <c r="N32" t="s">
        <v>28</v>
      </c>
    </row>
    <row r="33" spans="1:14" hidden="1" x14ac:dyDescent="0.2">
      <c r="A33">
        <v>0.62023718382074899</v>
      </c>
      <c r="B33" s="1">
        <v>2.8703775122131102E-15</v>
      </c>
      <c r="C33">
        <v>0.54377787035203995</v>
      </c>
      <c r="D33">
        <v>0.70461705507046102</v>
      </c>
      <c r="E33" t="s">
        <v>14</v>
      </c>
      <c r="F33" t="s">
        <v>15</v>
      </c>
      <c r="G33" t="s">
        <v>22</v>
      </c>
      <c r="H33" s="1">
        <v>4.3055662683196698E-14</v>
      </c>
      <c r="I33">
        <v>-0.47765331954873902</v>
      </c>
      <c r="J33">
        <v>-0.60921444207293296</v>
      </c>
      <c r="K33">
        <v>-0.35010080804512</v>
      </c>
      <c r="L33" t="s">
        <v>17</v>
      </c>
      <c r="M33" t="s">
        <v>18</v>
      </c>
      <c r="N33" t="s">
        <v>28</v>
      </c>
    </row>
    <row r="34" spans="1:14" hidden="1" x14ac:dyDescent="0.2">
      <c r="A34">
        <v>0.49787816506375498</v>
      </c>
      <c r="B34" s="1">
        <v>2.8935243537123798E-41</v>
      </c>
      <c r="C34">
        <v>0.44307352254200399</v>
      </c>
      <c r="D34">
        <v>0.55779963863464799</v>
      </c>
      <c r="E34" t="s">
        <v>14</v>
      </c>
      <c r="F34" t="s">
        <v>15</v>
      </c>
      <c r="G34" t="s">
        <v>23</v>
      </c>
      <c r="H34" s="1">
        <v>5.4976962720535298E-40</v>
      </c>
      <c r="I34">
        <v>-0.69739988035515699</v>
      </c>
      <c r="J34">
        <v>-0.81401955760158096</v>
      </c>
      <c r="K34">
        <v>-0.58375545162931597</v>
      </c>
      <c r="L34" t="s">
        <v>17</v>
      </c>
      <c r="M34" t="s">
        <v>18</v>
      </c>
      <c r="N34" t="s">
        <v>28</v>
      </c>
    </row>
    <row r="35" spans="1:14" hidden="1" x14ac:dyDescent="0.2">
      <c r="A35">
        <v>0</v>
      </c>
      <c r="B35">
        <v>2.7053517959524799E-2</v>
      </c>
      <c r="C35">
        <v>0</v>
      </c>
      <c r="D35">
        <v>0.80884606370288303</v>
      </c>
      <c r="E35" t="s">
        <v>14</v>
      </c>
      <c r="F35" t="s">
        <v>15</v>
      </c>
      <c r="G35" t="s">
        <v>24</v>
      </c>
      <c r="H35">
        <v>5.4107035919049598E-2</v>
      </c>
      <c r="I35" t="e">
        <f>-Inf</f>
        <v>#NAME?</v>
      </c>
      <c r="J35" t="e">
        <f>-Inf</f>
        <v>#NAME?</v>
      </c>
      <c r="K35">
        <v>-0.21214665975362401</v>
      </c>
      <c r="L35" t="s">
        <v>17</v>
      </c>
      <c r="M35" t="s">
        <v>18</v>
      </c>
      <c r="N35" t="s">
        <v>28</v>
      </c>
    </row>
    <row r="36" spans="1:14" hidden="1" x14ac:dyDescent="0.2">
      <c r="A36">
        <v>0.66351385175851696</v>
      </c>
      <c r="B36" s="1">
        <v>1.04999916229974E-4</v>
      </c>
      <c r="C36">
        <v>0.52742064614970796</v>
      </c>
      <c r="D36">
        <v>0.82431103261249505</v>
      </c>
      <c r="E36" t="s">
        <v>14</v>
      </c>
      <c r="F36" t="s">
        <v>15</v>
      </c>
      <c r="G36" t="s">
        <v>25</v>
      </c>
      <c r="H36" s="1">
        <v>3.1499974868992201E-4</v>
      </c>
      <c r="I36">
        <v>-0.41020554862520398</v>
      </c>
      <c r="J36">
        <v>-0.639756858787636</v>
      </c>
      <c r="K36">
        <v>-0.193207353532584</v>
      </c>
      <c r="L36" t="s">
        <v>17</v>
      </c>
      <c r="M36" t="s">
        <v>18</v>
      </c>
      <c r="N36" t="s">
        <v>28</v>
      </c>
    </row>
    <row r="37" spans="1:14" hidden="1" x14ac:dyDescent="0.2">
      <c r="A37">
        <v>0.71835803301347301</v>
      </c>
      <c r="B37" s="1">
        <v>4.1496306794843E-9</v>
      </c>
      <c r="C37">
        <v>0.63796810723085196</v>
      </c>
      <c r="D37">
        <v>0.80628197047142003</v>
      </c>
      <c r="E37" t="s">
        <v>14</v>
      </c>
      <c r="F37" t="s">
        <v>15</v>
      </c>
      <c r="G37" t="s">
        <v>16</v>
      </c>
      <c r="H37" s="1">
        <v>3.31970454358744E-8</v>
      </c>
      <c r="I37">
        <v>-0.33078718099800702</v>
      </c>
      <c r="J37">
        <v>-0.44946698555319697</v>
      </c>
      <c r="K37">
        <v>-0.21532175836043899</v>
      </c>
      <c r="L37" t="s">
        <v>26</v>
      </c>
      <c r="M37" t="s">
        <v>18</v>
      </c>
      <c r="N37" t="s">
        <v>28</v>
      </c>
    </row>
    <row r="38" spans="1:14" hidden="1" x14ac:dyDescent="0.2">
      <c r="A38">
        <v>1.95449707710573</v>
      </c>
      <c r="B38" s="1">
        <v>1.71836163698831E-21</v>
      </c>
      <c r="C38">
        <v>1.7169630006824601</v>
      </c>
      <c r="D38">
        <v>2.21702071752236</v>
      </c>
      <c r="E38" t="s">
        <v>14</v>
      </c>
      <c r="F38" t="s">
        <v>15</v>
      </c>
      <c r="G38" t="s">
        <v>20</v>
      </c>
      <c r="H38" s="1">
        <v>2.2338701280848099E-20</v>
      </c>
      <c r="I38">
        <v>0.67013291078070103</v>
      </c>
      <c r="J38">
        <v>0.54055703286688706</v>
      </c>
      <c r="K38">
        <v>0.79616427543596302</v>
      </c>
      <c r="L38" t="s">
        <v>26</v>
      </c>
      <c r="M38" t="s">
        <v>18</v>
      </c>
      <c r="N38" t="s">
        <v>28</v>
      </c>
    </row>
    <row r="39" spans="1:14" hidden="1" x14ac:dyDescent="0.2">
      <c r="A39">
        <v>1.1242280139941501</v>
      </c>
      <c r="B39" s="1">
        <v>7.6461876026624598E-14</v>
      </c>
      <c r="C39">
        <v>1.0903805383169101</v>
      </c>
      <c r="D39">
        <v>1.15893968795611</v>
      </c>
      <c r="E39" t="s">
        <v>14</v>
      </c>
      <c r="F39" t="s">
        <v>15</v>
      </c>
      <c r="G39" t="s">
        <v>21</v>
      </c>
      <c r="H39" s="1">
        <v>6.8815688423962095E-13</v>
      </c>
      <c r="I39">
        <v>0.11709659032370801</v>
      </c>
      <c r="J39">
        <v>8.6526753035578996E-2</v>
      </c>
      <c r="K39">
        <v>0.14750552500196201</v>
      </c>
      <c r="L39" t="s">
        <v>26</v>
      </c>
      <c r="M39" t="s">
        <v>18</v>
      </c>
      <c r="N39" t="s">
        <v>28</v>
      </c>
    </row>
    <row r="40" spans="1:14" hidden="1" x14ac:dyDescent="0.2">
      <c r="A40">
        <v>0.73929871112860501</v>
      </c>
      <c r="B40" s="1">
        <v>2.48555890982931E-14</v>
      </c>
      <c r="C40">
        <v>0.68066959334944699</v>
      </c>
      <c r="D40">
        <v>0.80175749915467198</v>
      </c>
      <c r="E40" t="s">
        <v>14</v>
      </c>
      <c r="F40" t="s">
        <v>15</v>
      </c>
      <c r="G40" t="s">
        <v>22</v>
      </c>
      <c r="H40" s="1">
        <v>2.4855589098293101E-13</v>
      </c>
      <c r="I40">
        <v>-0.302053229787834</v>
      </c>
      <c r="J40">
        <v>-0.38467826920503501</v>
      </c>
      <c r="K40">
        <v>-0.220949086970018</v>
      </c>
      <c r="L40" t="s">
        <v>26</v>
      </c>
      <c r="M40" t="s">
        <v>18</v>
      </c>
      <c r="N40" t="s">
        <v>28</v>
      </c>
    </row>
    <row r="41" spans="1:14" hidden="1" x14ac:dyDescent="0.2">
      <c r="A41">
        <v>0.62093677509565703</v>
      </c>
      <c r="B41" s="1">
        <v>7.77420163373876E-46</v>
      </c>
      <c r="C41">
        <v>0.57795886891461601</v>
      </c>
      <c r="D41">
        <v>0.66641010960934</v>
      </c>
      <c r="E41" t="s">
        <v>14</v>
      </c>
      <c r="F41" t="s">
        <v>15</v>
      </c>
      <c r="G41" t="s">
        <v>23</v>
      </c>
      <c r="H41" s="1">
        <v>1.47709831041036E-44</v>
      </c>
      <c r="I41">
        <v>-0.47652601367195901</v>
      </c>
      <c r="J41">
        <v>-0.54825257388920301</v>
      </c>
      <c r="K41">
        <v>-0.40585001776237101</v>
      </c>
      <c r="L41" t="s">
        <v>26</v>
      </c>
      <c r="M41" t="s">
        <v>18</v>
      </c>
      <c r="N41" t="s">
        <v>28</v>
      </c>
    </row>
    <row r="42" spans="1:14" hidden="1" x14ac:dyDescent="0.2">
      <c r="A42">
        <v>0</v>
      </c>
      <c r="B42" s="1">
        <v>1.00534615179612E-4</v>
      </c>
      <c r="C42">
        <v>0</v>
      </c>
      <c r="D42">
        <v>0.37416131934529101</v>
      </c>
      <c r="E42" t="s">
        <v>14</v>
      </c>
      <c r="F42" t="s">
        <v>15</v>
      </c>
      <c r="G42" t="s">
        <v>24</v>
      </c>
      <c r="H42" s="1">
        <v>4.0213846071844898E-4</v>
      </c>
      <c r="I42" t="e">
        <f>-Inf</f>
        <v>#NAME?</v>
      </c>
      <c r="J42" t="e">
        <f>-Inf</f>
        <v>#NAME?</v>
      </c>
      <c r="K42">
        <v>-0.98306823941803001</v>
      </c>
      <c r="L42" t="s">
        <v>26</v>
      </c>
      <c r="M42" t="s">
        <v>18</v>
      </c>
      <c r="N42" t="s">
        <v>28</v>
      </c>
    </row>
    <row r="43" spans="1:14" hidden="1" x14ac:dyDescent="0.2">
      <c r="A43">
        <v>0.71351690085180997</v>
      </c>
      <c r="B43" s="1">
        <v>1.80342175161274E-6</v>
      </c>
      <c r="C43">
        <v>0.61418496902957198</v>
      </c>
      <c r="D43">
        <v>0.82463941721856704</v>
      </c>
      <c r="E43" t="s">
        <v>14</v>
      </c>
      <c r="F43" t="s">
        <v>15</v>
      </c>
      <c r="G43" t="s">
        <v>25</v>
      </c>
      <c r="H43" s="1">
        <v>9.0171087580637293E-6</v>
      </c>
      <c r="I43">
        <v>-0.33754915509727601</v>
      </c>
      <c r="J43">
        <v>-0.48745914371125398</v>
      </c>
      <c r="K43">
        <v>-0.192809058228504</v>
      </c>
      <c r="L43" t="s">
        <v>26</v>
      </c>
      <c r="M43" t="s">
        <v>18</v>
      </c>
      <c r="N43" t="s">
        <v>28</v>
      </c>
    </row>
    <row r="44" spans="1:14" hidden="1" x14ac:dyDescent="0.2">
      <c r="A44">
        <v>5.9060667983688502</v>
      </c>
      <c r="B44">
        <v>0</v>
      </c>
      <c r="C44">
        <v>5.4896953123565302</v>
      </c>
      <c r="D44">
        <v>6.3490236550014396</v>
      </c>
      <c r="E44" t="s">
        <v>14</v>
      </c>
      <c r="F44" t="s">
        <v>15</v>
      </c>
      <c r="G44" t="s">
        <v>16</v>
      </c>
      <c r="H44">
        <v>0</v>
      </c>
      <c r="I44">
        <v>1.7759800935132399</v>
      </c>
      <c r="J44">
        <v>1.7028727553213101</v>
      </c>
      <c r="K44">
        <v>1.8483010459651801</v>
      </c>
      <c r="L44" t="s">
        <v>17</v>
      </c>
      <c r="M44" t="s">
        <v>18</v>
      </c>
      <c r="N44" t="s">
        <v>29</v>
      </c>
    </row>
    <row r="45" spans="1:14" hidden="1" x14ac:dyDescent="0.2">
      <c r="A45">
        <v>0.17206013207981</v>
      </c>
      <c r="B45" s="1">
        <v>2.6446867149677101E-14</v>
      </c>
      <c r="C45">
        <v>8.2414911051243198E-2</v>
      </c>
      <c r="D45">
        <v>0.31687686172023199</v>
      </c>
      <c r="E45" t="s">
        <v>14</v>
      </c>
      <c r="F45" t="s">
        <v>15</v>
      </c>
      <c r="G45" t="s">
        <v>20</v>
      </c>
      <c r="H45" s="1">
        <v>3.7025614009547998E-13</v>
      </c>
      <c r="I45">
        <v>-1.75991125815113</v>
      </c>
      <c r="J45">
        <v>-2.4959888990781298</v>
      </c>
      <c r="K45">
        <v>-1.1492420294027199</v>
      </c>
      <c r="L45" t="s">
        <v>17</v>
      </c>
      <c r="M45" t="s">
        <v>18</v>
      </c>
      <c r="N45" t="s">
        <v>29</v>
      </c>
    </row>
    <row r="46" spans="1:14" hidden="1" x14ac:dyDescent="0.2">
      <c r="A46">
        <v>1.5714176846836001</v>
      </c>
      <c r="B46" s="1">
        <v>2.90621425969294E-87</v>
      </c>
      <c r="C46">
        <v>1.50445624527352</v>
      </c>
      <c r="D46">
        <v>1.6410763330704801</v>
      </c>
      <c r="E46" t="s">
        <v>14</v>
      </c>
      <c r="F46" t="s">
        <v>15</v>
      </c>
      <c r="G46" t="s">
        <v>21</v>
      </c>
      <c r="H46" s="1">
        <v>6.3936713713244799E-86</v>
      </c>
      <c r="I46">
        <v>0.45197819579044102</v>
      </c>
      <c r="J46">
        <v>0.40843153409511701</v>
      </c>
      <c r="K46">
        <v>0.49535232721775002</v>
      </c>
      <c r="L46" t="s">
        <v>17</v>
      </c>
      <c r="M46" t="s">
        <v>18</v>
      </c>
      <c r="N46" t="s">
        <v>29</v>
      </c>
    </row>
    <row r="47" spans="1:14" hidden="1" x14ac:dyDescent="0.2">
      <c r="A47">
        <v>0.671276670512165</v>
      </c>
      <c r="B47" s="1">
        <v>3.0721245954992401E-10</v>
      </c>
      <c r="C47">
        <v>0.58591454831696199</v>
      </c>
      <c r="D47">
        <v>0.76580206480545698</v>
      </c>
      <c r="E47" t="s">
        <v>14</v>
      </c>
      <c r="F47" t="s">
        <v>15</v>
      </c>
      <c r="G47" t="s">
        <v>22</v>
      </c>
      <c r="H47" s="1">
        <v>3.9937619741490196E-9</v>
      </c>
      <c r="I47">
        <v>-0.39857390134180398</v>
      </c>
      <c r="J47">
        <v>-0.53458132202288899</v>
      </c>
      <c r="K47">
        <v>-0.26683154367010797</v>
      </c>
      <c r="L47" t="s">
        <v>17</v>
      </c>
      <c r="M47" t="s">
        <v>18</v>
      </c>
      <c r="N47" t="s">
        <v>29</v>
      </c>
    </row>
    <row r="48" spans="1:14" hidden="1" x14ac:dyDescent="0.2">
      <c r="A48">
        <v>0.57693782918698</v>
      </c>
      <c r="B48" s="1">
        <v>6.2870906296657901E-25</v>
      </c>
      <c r="C48">
        <v>0.51325738943855603</v>
      </c>
      <c r="D48">
        <v>0.64647725744540696</v>
      </c>
      <c r="E48" t="s">
        <v>14</v>
      </c>
      <c r="F48" t="s">
        <v>15</v>
      </c>
      <c r="G48" t="s">
        <v>23</v>
      </c>
      <c r="H48" s="1">
        <v>1.06880540704318E-23</v>
      </c>
      <c r="I48">
        <v>-0.55002076665542798</v>
      </c>
      <c r="J48">
        <v>-0.66697782583932697</v>
      </c>
      <c r="K48">
        <v>-0.43621725935432398</v>
      </c>
      <c r="L48" t="s">
        <v>17</v>
      </c>
      <c r="M48" t="s">
        <v>18</v>
      </c>
      <c r="N48" t="s">
        <v>29</v>
      </c>
    </row>
    <row r="49" spans="1:14" hidden="1" x14ac:dyDescent="0.2">
      <c r="A49">
        <v>0</v>
      </c>
      <c r="B49">
        <v>3.7460333271865903E-2</v>
      </c>
      <c r="C49">
        <v>0</v>
      </c>
      <c r="D49">
        <v>0.935072659994022</v>
      </c>
      <c r="E49" t="s">
        <v>14</v>
      </c>
      <c r="F49" t="s">
        <v>15</v>
      </c>
      <c r="G49" t="s">
        <v>24</v>
      </c>
      <c r="H49">
        <v>7.4920666543731904E-2</v>
      </c>
      <c r="I49" t="e">
        <f>-Inf</f>
        <v>#NAME?</v>
      </c>
      <c r="J49" t="e">
        <f>-Inf</f>
        <v>#NAME?</v>
      </c>
      <c r="K49">
        <v>-6.7131041489257096E-2</v>
      </c>
      <c r="L49" t="s">
        <v>17</v>
      </c>
      <c r="M49" t="s">
        <v>18</v>
      </c>
      <c r="N49" t="s">
        <v>29</v>
      </c>
    </row>
    <row r="50" spans="1:14" hidden="1" x14ac:dyDescent="0.2">
      <c r="A50">
        <v>0.67756112797222701</v>
      </c>
      <c r="B50" s="1">
        <v>5.3848879773729695E-4</v>
      </c>
      <c r="C50">
        <v>0.53096502887881003</v>
      </c>
      <c r="D50">
        <v>0.85249902135617195</v>
      </c>
      <c r="E50" t="s">
        <v>14</v>
      </c>
      <c r="F50" t="s">
        <v>15</v>
      </c>
      <c r="G50" t="s">
        <v>25</v>
      </c>
      <c r="H50">
        <v>2.15395519094918E-3</v>
      </c>
      <c r="I50">
        <v>-0.389255504509116</v>
      </c>
      <c r="J50">
        <v>-0.63305911889428701</v>
      </c>
      <c r="K50">
        <v>-0.159583217794423</v>
      </c>
      <c r="L50" t="s">
        <v>17</v>
      </c>
      <c r="M50" t="s">
        <v>18</v>
      </c>
      <c r="N50" t="s">
        <v>29</v>
      </c>
    </row>
    <row r="51" spans="1:14" hidden="1" x14ac:dyDescent="0.2">
      <c r="A51">
        <v>0.76381649940027696</v>
      </c>
      <c r="B51" s="1">
        <v>1.0392689858259799E-5</v>
      </c>
      <c r="C51">
        <v>0.67233187732561395</v>
      </c>
      <c r="D51">
        <v>0.86451348709383202</v>
      </c>
      <c r="E51" t="s">
        <v>14</v>
      </c>
      <c r="F51" t="s">
        <v>15</v>
      </c>
      <c r="G51" t="s">
        <v>16</v>
      </c>
      <c r="H51" s="1">
        <v>5.19634492912994E-5</v>
      </c>
      <c r="I51">
        <v>-0.26942770269547001</v>
      </c>
      <c r="J51">
        <v>-0.39700319530232497</v>
      </c>
      <c r="K51">
        <v>-0.14558837294655599</v>
      </c>
      <c r="L51" t="s">
        <v>26</v>
      </c>
      <c r="M51" t="s">
        <v>18</v>
      </c>
      <c r="N51" t="s">
        <v>29</v>
      </c>
    </row>
    <row r="52" spans="1:14" hidden="1" x14ac:dyDescent="0.2">
      <c r="A52">
        <v>2.3312924389812899</v>
      </c>
      <c r="B52" s="1">
        <v>6.0502162122420996E-31</v>
      </c>
      <c r="C52">
        <v>2.0437174604747601</v>
      </c>
      <c r="D52">
        <v>2.6496174331014202</v>
      </c>
      <c r="E52" t="s">
        <v>14</v>
      </c>
      <c r="F52" t="s">
        <v>15</v>
      </c>
      <c r="G52" t="s">
        <v>20</v>
      </c>
      <c r="H52" s="1">
        <v>9.6803459395873594E-30</v>
      </c>
      <c r="I52">
        <v>0.84642280863304997</v>
      </c>
      <c r="J52">
        <v>0.71477043405643803</v>
      </c>
      <c r="K52">
        <v>0.97441526470913198</v>
      </c>
      <c r="L52" t="s">
        <v>26</v>
      </c>
      <c r="M52" t="s">
        <v>18</v>
      </c>
      <c r="N52" t="s">
        <v>29</v>
      </c>
    </row>
    <row r="53" spans="1:14" hidden="1" x14ac:dyDescent="0.2">
      <c r="A53">
        <v>1.26750189565379</v>
      </c>
      <c r="B53" s="1">
        <v>8.8824250814916099E-45</v>
      </c>
      <c r="C53">
        <v>1.22679532801103</v>
      </c>
      <c r="D53">
        <v>1.3094167757600701</v>
      </c>
      <c r="E53" t="s">
        <v>14</v>
      </c>
      <c r="F53" t="s">
        <v>15</v>
      </c>
      <c r="G53" t="s">
        <v>21</v>
      </c>
      <c r="H53" s="1">
        <v>1.6876607654833999E-43</v>
      </c>
      <c r="I53">
        <v>0.237047952066929</v>
      </c>
      <c r="J53">
        <v>0.20440534497799601</v>
      </c>
      <c r="K53">
        <v>0.26958182873449799</v>
      </c>
      <c r="L53" t="s">
        <v>26</v>
      </c>
      <c r="M53" t="s">
        <v>18</v>
      </c>
      <c r="N53" t="s">
        <v>29</v>
      </c>
    </row>
    <row r="54" spans="1:14" hidden="1" x14ac:dyDescent="0.2">
      <c r="A54">
        <v>0.71805730150676705</v>
      </c>
      <c r="B54" s="1">
        <v>5.0866594214181198E-14</v>
      </c>
      <c r="C54">
        <v>0.65464536201507695</v>
      </c>
      <c r="D54">
        <v>0.78614261036019395</v>
      </c>
      <c r="E54" t="s">
        <v>14</v>
      </c>
      <c r="F54" t="s">
        <v>15</v>
      </c>
      <c r="G54" t="s">
        <v>22</v>
      </c>
      <c r="H54" s="1">
        <v>5.5953253635599305E-13</v>
      </c>
      <c r="I54">
        <v>-0.33120590600584099</v>
      </c>
      <c r="J54">
        <v>-0.42366162201218799</v>
      </c>
      <c r="K54">
        <v>-0.24061706489353901</v>
      </c>
      <c r="L54" t="s">
        <v>26</v>
      </c>
      <c r="M54" t="s">
        <v>18</v>
      </c>
      <c r="N54" t="s">
        <v>29</v>
      </c>
    </row>
    <row r="55" spans="1:14" hidden="1" x14ac:dyDescent="0.2">
      <c r="A55">
        <v>0.63458331722568295</v>
      </c>
      <c r="B55" s="1">
        <v>4.1131804594544001E-35</v>
      </c>
      <c r="C55">
        <v>0.58665780620823205</v>
      </c>
      <c r="D55">
        <v>0.68553001034376704</v>
      </c>
      <c r="E55" t="s">
        <v>14</v>
      </c>
      <c r="F55" t="s">
        <v>15</v>
      </c>
      <c r="G55" t="s">
        <v>23</v>
      </c>
      <c r="H55" s="1">
        <v>6.99240678107249E-34</v>
      </c>
      <c r="I55">
        <v>-0.45478668882390799</v>
      </c>
      <c r="J55">
        <v>-0.53331358278625096</v>
      </c>
      <c r="K55">
        <v>-0.37756300217250499</v>
      </c>
      <c r="L55" t="s">
        <v>26</v>
      </c>
      <c r="M55" t="s">
        <v>18</v>
      </c>
      <c r="N55" t="s">
        <v>29</v>
      </c>
    </row>
    <row r="56" spans="1:14" hidden="1" x14ac:dyDescent="0.2">
      <c r="A56">
        <v>0</v>
      </c>
      <c r="B56" s="1">
        <v>7.5349753966133201E-4</v>
      </c>
      <c r="C56">
        <v>0</v>
      </c>
      <c r="D56">
        <v>0.46042982894662998</v>
      </c>
      <c r="E56" t="s">
        <v>14</v>
      </c>
      <c r="F56" t="s">
        <v>15</v>
      </c>
      <c r="G56" t="s">
        <v>24</v>
      </c>
      <c r="H56">
        <v>2.2604926189839902E-3</v>
      </c>
      <c r="I56" t="e">
        <f>-Inf</f>
        <v>#NAME?</v>
      </c>
      <c r="J56" t="e">
        <f>-Inf</f>
        <v>#NAME?</v>
      </c>
      <c r="K56">
        <v>-0.77559481503541805</v>
      </c>
      <c r="L56" t="s">
        <v>26</v>
      </c>
      <c r="M56" t="s">
        <v>18</v>
      </c>
      <c r="N56" t="s">
        <v>29</v>
      </c>
    </row>
    <row r="57" spans="1:14" hidden="1" x14ac:dyDescent="0.2">
      <c r="A57">
        <v>0.75387079288051895</v>
      </c>
      <c r="B57" s="1">
        <v>2.3591900699734399E-4</v>
      </c>
      <c r="C57">
        <v>0.64173009336632203</v>
      </c>
      <c r="D57">
        <v>0.88032358530145205</v>
      </c>
      <c r="E57" t="s">
        <v>14</v>
      </c>
      <c r="F57" t="s">
        <v>15</v>
      </c>
      <c r="G57" t="s">
        <v>25</v>
      </c>
      <c r="H57" s="1">
        <v>9.4367602798937596E-4</v>
      </c>
      <c r="I57">
        <v>-0.28253428788579199</v>
      </c>
      <c r="J57">
        <v>-0.44358747900872703</v>
      </c>
      <c r="K57">
        <v>-0.127465728529016</v>
      </c>
      <c r="L57" t="s">
        <v>26</v>
      </c>
      <c r="M57" t="s">
        <v>18</v>
      </c>
      <c r="N57" t="s">
        <v>29</v>
      </c>
    </row>
  </sheetData>
  <autoFilter ref="A1:N57">
    <filterColumn colId="13">
      <filters>
        <filter val="eq2_m_signif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re_enrichment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Kelsey</dc:creator>
  <cp:lastModifiedBy>Cameron Kelsey</cp:lastModifiedBy>
  <dcterms:modified xsi:type="dcterms:W3CDTF">2026-07-28T21:45:51Z</dcterms:modified>
</cp:coreProperties>
</file>